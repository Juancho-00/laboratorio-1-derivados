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vidstereo\Downloads\"/>
    </mc:Choice>
  </mc:AlternateContent>
  <xr:revisionPtr revIDLastSave="0" documentId="13_ncr:1_{DC618FAE-FE0F-4E61-B749-6F19D7E57B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úbrica" sheetId="1" r:id="rId1"/>
    <sheet name="Escala de desempeñ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9" i="1"/>
  <c r="H10" i="1"/>
  <c r="H11" i="1"/>
  <c r="H12" i="1"/>
  <c r="H4" i="1"/>
  <c r="H5" i="1"/>
  <c r="H6" i="1"/>
  <c r="H7" i="1"/>
  <c r="H8" i="1"/>
  <c r="H3" i="1"/>
  <c r="M5" i="1" l="1"/>
  <c r="N5" i="1" s="1"/>
  <c r="M4" i="1"/>
  <c r="M3" i="1"/>
  <c r="N3" i="1" s="1"/>
  <c r="N4" i="1" l="1"/>
  <c r="M7" i="1"/>
</calcChain>
</file>

<file path=xl/sharedStrings.xml><?xml version="1.0" encoding="utf-8"?>
<sst xmlns="http://schemas.openxmlformats.org/spreadsheetml/2006/main" count="114" uniqueCount="93">
  <si>
    <t>Rúbrica de evaluación – Portafolio y coberturas con opciones</t>
  </si>
  <si>
    <t>Bloque</t>
  </si>
  <si>
    <t>Actividad evaluada</t>
  </si>
  <si>
    <t>Criterio / evidencia esperada</t>
  </si>
  <si>
    <t>Peso</t>
  </si>
  <si>
    <t>Aporte a nota final</t>
  </si>
  <si>
    <t>Observaciones</t>
  </si>
  <si>
    <t>Nota bloque / 5</t>
  </si>
  <si>
    <t>Bloque I – Construcción del portafolio</t>
  </si>
  <si>
    <t>1. Selección y documentación de activos</t>
  </si>
  <si>
    <t>Tres acciones correctamente identificadas; ticker, empresa, sector, mercado, fecha/hora de descarga, fuentes de precios y dividendos, observaciones, faltantes y tratamiento.</t>
  </si>
  <si>
    <t>2. Preparación de datos y retornos</t>
  </si>
  <si>
    <t>Descarga desde 01/10/2021; uso consistente de precios ajustados para retornos y spot no ajustado para opciones; definición y justificación de retornos simples o logarítmicos.</t>
  </si>
  <si>
    <t>Bloque II – Simulación y riesgo</t>
  </si>
  <si>
    <t>3. Media-varianza y restricciones</t>
  </si>
  <si>
    <t>Optimización media-varianza con exactamente tres activos y peso mínimo de 15% por acción; pesos suman 100% y son económicamente coherentes.</t>
  </si>
  <si>
    <t>Bloque III – Opciones y coberturas</t>
  </si>
  <si>
    <t>4. Retorno, volatilidad y correlaciones</t>
  </si>
  <si>
    <t>Retorno esperado anualizado, volatilidad anualizada individual y de portafolio, y matriz de correlaciones correctamente calculados e interpretados.</t>
  </si>
  <si>
    <t>5. Sharpe, tasa libre y riesgo</t>
  </si>
  <si>
    <t>Índice de Sharpe con tasa libre de riesgo anualizada documentada; contribución de cada activo al riesgo o explicación técnicamente sustentada del activo dominante.</t>
  </si>
  <si>
    <t>NOTA FINAL</t>
  </si>
  <si>
    <t>/ 5.00</t>
  </si>
  <si>
    <t>6. Criterios financieros iniciales</t>
  </si>
  <si>
    <t>Aplica correctamente revaloración trimestral, tasa Treasury por plazo, cobertura activo por activo, comparación europea/americana y tratamiento del costo de primas/apalancamiento.</t>
  </si>
  <si>
    <t>Simulación conjunta de los tres activos mediante Movimiento Browniano Geométrico correlacionado; matriz de dependencia correctamente incorporada.</t>
  </si>
  <si>
    <t>8. Parámetros de volatilidad GARCH</t>
  </si>
  <si>
    <t>Modelación GARCH de la varianza usando aproximadamente 10 años de historia; especificación, estimación y uso de la volatilidad debidamente documentados.</t>
  </si>
  <si>
    <t>11. VaR sin cobertura</t>
  </si>
  <si>
    <t>Calcula correctamente VaR95 = -Q0.05(P&amp;L) y VaR99 = -Q0.01(P&amp;L), al primer trimestre y al final de la ventana de cobertura.</t>
  </si>
  <si>
    <t>12. VaR cubierto y reducción de riesgo</t>
  </si>
  <si>
    <t>Repite VaR sobre el portafolio cubierto y cuantifica/interpreta cuánto riesgo se reduce frente al portafolio sin cobertura.</t>
  </si>
  <si>
    <t>13. Selección de vencimientos</t>
  </si>
  <si>
    <t>Busca vencimiento común idealmente entre 12 y 24 meses; si difiere entre activos, utiliza el más cercano y documenta las diferencias.</t>
  </si>
  <si>
    <t>17. Dimensionamiento de cobertura 85%</t>
  </si>
  <si>
    <t>Calcula aproximadamente 85% del número de acciones por activo, ajusta por multiplicador de contrato y reporta porcentaje efectivo de cobertura.</t>
  </si>
  <si>
    <t>18. Protective Put</t>
  </si>
  <si>
    <t>Construye y valora correctamente la protective put para cada activo; identifica piso de protección, costo de primas y efecto sobre el P&amp;L.</t>
  </si>
  <si>
    <t>19. Collar</t>
  </si>
  <si>
    <t>Construye y valora correctamente el collar con put comprada y call vendida sobre la misma cantidad cubierta; analiza reducción de costo y techo de ganancia.</t>
  </si>
  <si>
    <t>21. Benchmark europeo vs. americano</t>
  </si>
  <si>
    <t>Compara valoración europea teórica y opción americana con mismos S0, K, T, sigma, r y q; interpreta el valor del ejercicio anticipado.</t>
  </si>
  <si>
    <t>22. Revaloración trimestral / MTM</t>
  </si>
  <si>
    <t>Realiza puntos de control trimestrales para revalorar, medir mark-to-market y decidir mantener, ajustar o renovar la cobertura.</t>
  </si>
  <si>
    <t>23. Asignación del presupuesto de cobertura</t>
  </si>
  <si>
    <t>Compara al menos dos criterios: valor invertido, contribución al riesgo o reducción de VaR por dólar de prima; selecciona y justifica uno.</t>
  </si>
  <si>
    <t>24. Costo y eficiencia de la cobertura</t>
  </si>
  <si>
    <t>Reporta costo por activo, costo total de primas como % del portafolio, activo con mayor presupuesto y evalúa eficiencia de reducción del riesgo.</t>
  </si>
  <si>
    <t>Escala sugerida para calificar cada actividad</t>
  </si>
  <si>
    <t>Nota</t>
  </si>
  <si>
    <t>Nivel</t>
  </si>
  <si>
    <t>Descripción general</t>
  </si>
  <si>
    <t>Exactitud técnica</t>
  </si>
  <si>
    <t>Evidencia y documentación</t>
  </si>
  <si>
    <t>Interpretación</t>
  </si>
  <si>
    <t>Excelente</t>
  </si>
  <si>
    <t>Cumple integralmente y supera lo mínimo solicitado.</t>
  </si>
  <si>
    <t>Cálculos correctos, metodología apropiada y supuestos coherentes.</t>
  </si>
  <si>
    <t>Fuentes, datos, código/tablas y decisiones completamente trazables.</t>
  </si>
  <si>
    <t>Interpretación financiera sólida, crítica y bien argumentada.</t>
  </si>
  <si>
    <t>Bueno</t>
  </si>
  <si>
    <t>Cumple con omisiones menores que no alteran la conclusión.</t>
  </si>
  <si>
    <t>Cálculos mayoritariamente correctos; errores menores.</t>
  </si>
  <si>
    <t>Evidencia suficiente, con documentación mejorable.</t>
  </si>
  <si>
    <t>Interpretación correcta con profundidad moderada.</t>
  </si>
  <si>
    <t>Aceptable</t>
  </si>
  <si>
    <t>Cumple parcialmente; faltan elementos relevantes.</t>
  </si>
  <si>
    <t>Metodología reconocible, con errores o simplificaciones importantes.</t>
  </si>
  <si>
    <t>Evidencia incompleta o poco organizada.</t>
  </si>
  <si>
    <t>Interpretación básica y limitada.</t>
  </si>
  <si>
    <t>Deficiente</t>
  </si>
  <si>
    <t>Desarrollo incompleto y con fallas sustanciales.</t>
  </si>
  <si>
    <t>Errores técnicos que afectan resultados o decisiones.</t>
  </si>
  <si>
    <t>Poca evidencia o trazabilidad.</t>
  </si>
  <si>
    <t>Interpretación débil o parcialmente incorrecta.</t>
  </si>
  <si>
    <t>Muy deficiente</t>
  </si>
  <si>
    <t>Intento mínimo sin resolver adecuadamente el criterio.</t>
  </si>
  <si>
    <t>Procedimiento mayormente incorrecto.</t>
  </si>
  <si>
    <t>Evidencia mínima o no verificable.</t>
  </si>
  <si>
    <t>Interpretación ausente o equivocada.</t>
  </si>
  <si>
    <t>No presentado</t>
  </si>
  <si>
    <t>No presenta evidencia evaluable.</t>
  </si>
  <si>
    <t>No hay cálculo válido.</t>
  </si>
  <si>
    <t>No hay evidencia.</t>
  </si>
  <si>
    <t>No hay interpretación.</t>
  </si>
  <si>
    <t>Calculo</t>
  </si>
  <si>
    <t>Analisis</t>
  </si>
  <si>
    <t>Calificación (0–5) Calculo</t>
  </si>
  <si>
    <t>Calificación (0–5) Analisis</t>
  </si>
  <si>
    <t>7. Modelo GBM correlacionado, Diseño de simulación, Bandas percentiles e interpretación</t>
  </si>
  <si>
    <t>14. Comparación de strikes candidatos, Liquidez: bid-ask, OI y volumen, IV, moneyness y vencimiento</t>
  </si>
  <si>
    <t>Compara al menos tres strikes por activo y presenta evidencia numérica suficiente antes de elegir el contrato definitivo. Calcula bid-ask relativo = (Ask-Bid)/Mid y analiza open interest y volumen como criterios de ejecutabilidad y liquidez. Registra y compara volatilidad implícita; clasifica ATM/OTM/ITM y justifica strike y vencimiento según el objetivo de protección.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</si>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</sst>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b/>
      <sz val="11"/>
      <color rgb="FFFFFFFF"/>
      <name val="Carlito"/>
    </font>
    <font>
      <b/>
      <sz val="14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00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4" fillId="2" borderId="0" xfId="0" applyFont="1" applyFill="1" applyAlignment="1">
      <alignment horizontal="left" vertical="center"/>
    </xf>
    <xf numFmtId="2" fontId="5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3" fillId="4" borderId="0" xfId="0" applyNumberFormat="1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D1" workbookViewId="0">
      <selection activeCell="K5" sqref="K5"/>
    </sheetView>
  </sheetViews>
  <sheetFormatPr baseColWidth="10" defaultColWidth="0" defaultRowHeight="14" zeroHeight="1"/>
  <cols>
    <col min="1" max="1" width="31" customWidth="1"/>
    <col min="2" max="2" width="35" customWidth="1"/>
    <col min="3" max="3" width="70" customWidth="1"/>
    <col min="4" max="4" width="11.75" customWidth="1"/>
    <col min="5" max="5" width="11" customWidth="1"/>
    <col min="6" max="7" width="18" customWidth="1"/>
    <col min="8" max="8" width="19" customWidth="1"/>
    <col min="9" max="9" width="34" customWidth="1"/>
    <col min="10" max="10" width="8.6640625" customWidth="1"/>
    <col min="11" max="11" width="38" customWidth="1"/>
    <col min="12" max="14" width="18" customWidth="1"/>
    <col min="15" max="15" width="8.6640625" customWidth="1"/>
    <col min="16" max="16384" width="8.6640625" hidden="1"/>
  </cols>
  <sheetData>
    <row r="1" spans="1:14" ht="2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4" ht="28">
      <c r="A2" s="1" t="s">
        <v>1</v>
      </c>
      <c r="B2" s="1" t="s">
        <v>2</v>
      </c>
      <c r="C2" s="1" t="s">
        <v>3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5</v>
      </c>
      <c r="I2" s="1" t="s">
        <v>6</v>
      </c>
      <c r="K2" s="1" t="s">
        <v>1</v>
      </c>
      <c r="L2" s="1" t="s">
        <v>4</v>
      </c>
      <c r="M2" s="1" t="s">
        <v>5</v>
      </c>
      <c r="N2" s="1" t="s">
        <v>7</v>
      </c>
    </row>
    <row r="3" spans="1:14" ht="42">
      <c r="A3" s="8" t="s">
        <v>8</v>
      </c>
      <c r="B3" s="8" t="s">
        <v>9</v>
      </c>
      <c r="C3" s="8" t="s">
        <v>10</v>
      </c>
      <c r="D3" s="14">
        <v>0.08</v>
      </c>
      <c r="E3" s="9">
        <v>0.12</v>
      </c>
      <c r="F3" s="10"/>
      <c r="G3" s="10"/>
      <c r="H3" s="11">
        <f>(D3*F3)+(E3*G3)</f>
        <v>0</v>
      </c>
      <c r="I3" s="8"/>
      <c r="K3" t="s">
        <v>8</v>
      </c>
      <c r="L3" s="2">
        <v>0.2</v>
      </c>
      <c r="M3" s="3">
        <f>SUM(H3:H8)</f>
        <v>0</v>
      </c>
      <c r="N3" s="4">
        <f>IF(L3=0,0,M3/L3)</f>
        <v>0</v>
      </c>
    </row>
    <row r="4" spans="1:14" ht="42">
      <c r="A4" s="8" t="s">
        <v>8</v>
      </c>
      <c r="B4" s="8" t="s">
        <v>11</v>
      </c>
      <c r="C4" s="8" t="s">
        <v>12</v>
      </c>
      <c r="D4" s="14">
        <v>0.05</v>
      </c>
      <c r="E4" s="9">
        <v>0.11</v>
      </c>
      <c r="F4" s="10"/>
      <c r="G4" s="10"/>
      <c r="H4" s="11">
        <f t="shared" ref="H4:H21" si="0">(D4*F4)+(E4*G4)</f>
        <v>0</v>
      </c>
      <c r="I4" s="8"/>
      <c r="K4" t="s">
        <v>13</v>
      </c>
      <c r="L4" s="2">
        <v>0.25</v>
      </c>
      <c r="M4" s="3">
        <f>SUM(H9:H12)</f>
        <v>0</v>
      </c>
      <c r="N4" s="4">
        <f>IF(L4=0,0,M4/L4)</f>
        <v>0</v>
      </c>
    </row>
    <row r="5" spans="1:14" ht="28">
      <c r="A5" s="8" t="s">
        <v>8</v>
      </c>
      <c r="B5" s="8" t="s">
        <v>14</v>
      </c>
      <c r="C5" s="8" t="s">
        <v>15</v>
      </c>
      <c r="D5" s="14">
        <v>0.08</v>
      </c>
      <c r="E5" s="9">
        <v>0.12</v>
      </c>
      <c r="F5" s="10"/>
      <c r="G5" s="10"/>
      <c r="H5" s="11">
        <f t="shared" si="0"/>
        <v>0</v>
      </c>
      <c r="I5" s="8"/>
      <c r="K5" t="s">
        <v>16</v>
      </c>
      <c r="L5" s="2">
        <v>0.55000000000000004</v>
      </c>
      <c r="M5" s="3">
        <f>SUM(H13:H21)</f>
        <v>0</v>
      </c>
      <c r="N5" s="4">
        <f>IF(L5=0,0,M5/L5)</f>
        <v>0</v>
      </c>
    </row>
    <row r="6" spans="1:14" ht="28">
      <c r="A6" s="8" t="s">
        <v>8</v>
      </c>
      <c r="B6" s="8" t="s">
        <v>17</v>
      </c>
      <c r="C6" s="8" t="s">
        <v>18</v>
      </c>
      <c r="D6" s="14">
        <v>0.08</v>
      </c>
      <c r="E6" s="9">
        <v>0.12</v>
      </c>
      <c r="F6" s="10"/>
      <c r="G6" s="10"/>
      <c r="H6" s="11">
        <f t="shared" si="0"/>
        <v>0</v>
      </c>
      <c r="I6" s="8"/>
    </row>
    <row r="7" spans="1:14" ht="29">
      <c r="A7" s="8" t="s">
        <v>8</v>
      </c>
      <c r="B7" s="8" t="s">
        <v>19</v>
      </c>
      <c r="C7" s="8" t="s">
        <v>20</v>
      </c>
      <c r="D7" s="14">
        <v>0.05</v>
      </c>
      <c r="E7" s="9">
        <v>7.0000000000000007E-2</v>
      </c>
      <c r="F7" s="10"/>
      <c r="G7" s="10"/>
      <c r="H7" s="11">
        <f t="shared" si="0"/>
        <v>0</v>
      </c>
      <c r="I7" s="8"/>
      <c r="K7" s="5" t="s">
        <v>21</v>
      </c>
      <c r="L7" s="5"/>
      <c r="M7" s="6">
        <f>SUMPRODUCT(M3:M5,L3:L5)</f>
        <v>0</v>
      </c>
      <c r="N7" s="7" t="s">
        <v>22</v>
      </c>
    </row>
    <row r="8" spans="1:14" ht="42">
      <c r="A8" s="8" t="s">
        <v>8</v>
      </c>
      <c r="B8" s="8" t="s">
        <v>23</v>
      </c>
      <c r="C8" s="8" t="s">
        <v>24</v>
      </c>
      <c r="D8" s="14">
        <v>0.05</v>
      </c>
      <c r="E8" s="9">
        <v>7.0000000000000007E-2</v>
      </c>
      <c r="F8" s="10"/>
      <c r="G8" s="10"/>
      <c r="H8" s="11">
        <f t="shared" si="0"/>
        <v>0</v>
      </c>
      <c r="I8" s="8"/>
    </row>
    <row r="9" spans="1:14" ht="42">
      <c r="A9" s="8" t="s">
        <v>13</v>
      </c>
      <c r="B9" s="8" t="s">
        <v>89</v>
      </c>
      <c r="C9" s="8" t="s">
        <v>25</v>
      </c>
      <c r="D9" s="14">
        <v>0.12</v>
      </c>
      <c r="E9" s="9">
        <v>0.2</v>
      </c>
      <c r="F9" s="10"/>
      <c r="G9" s="10"/>
      <c r="H9" s="11">
        <f t="shared" si="0"/>
        <v>0</v>
      </c>
      <c r="I9" s="8"/>
    </row>
    <row r="10" spans="1:14" ht="28">
      <c r="A10" s="8" t="s">
        <v>13</v>
      </c>
      <c r="B10" s="8" t="s">
        <v>26</v>
      </c>
      <c r="C10" s="8" t="s">
        <v>27</v>
      </c>
      <c r="D10" s="14">
        <v>0.12</v>
      </c>
      <c r="E10" s="9">
        <v>0.2</v>
      </c>
      <c r="F10" s="10"/>
      <c r="G10" s="10"/>
      <c r="H10" s="11">
        <f t="shared" si="0"/>
        <v>0</v>
      </c>
      <c r="I10" s="8"/>
    </row>
    <row r="11" spans="1:14" ht="28">
      <c r="A11" s="8" t="s">
        <v>13</v>
      </c>
      <c r="B11" s="8" t="s">
        <v>28</v>
      </c>
      <c r="C11" s="8" t="s">
        <v>29</v>
      </c>
      <c r="D11" s="14">
        <v>0.08</v>
      </c>
      <c r="E11" s="9">
        <v>0.1</v>
      </c>
      <c r="F11" s="10"/>
      <c r="G11" s="10"/>
      <c r="H11" s="11">
        <f t="shared" si="0"/>
        <v>0</v>
      </c>
      <c r="I11" s="8"/>
    </row>
    <row r="12" spans="1:14" ht="28">
      <c r="A12" s="8" t="s">
        <v>13</v>
      </c>
      <c r="B12" s="8" t="s">
        <v>30</v>
      </c>
      <c r="C12" s="8" t="s">
        <v>31</v>
      </c>
      <c r="D12" s="14">
        <v>0.08</v>
      </c>
      <c r="E12" s="9">
        <v>0.1</v>
      </c>
      <c r="F12" s="10"/>
      <c r="G12" s="10"/>
      <c r="H12" s="11">
        <f t="shared" si="0"/>
        <v>0</v>
      </c>
      <c r="I12" s="8"/>
    </row>
    <row r="13" spans="1:14" ht="28">
      <c r="A13" s="8" t="s">
        <v>16</v>
      </c>
      <c r="B13" s="8" t="s">
        <v>32</v>
      </c>
      <c r="C13" s="8" t="s">
        <v>33</v>
      </c>
      <c r="D13" s="14">
        <v>0.04</v>
      </c>
      <c r="E13" s="9">
        <v>0.08</v>
      </c>
      <c r="F13" s="10"/>
      <c r="G13" s="10"/>
      <c r="H13" s="11">
        <f t="shared" si="0"/>
        <v>0</v>
      </c>
      <c r="I13" s="8"/>
    </row>
    <row r="14" spans="1:14" ht="70">
      <c r="A14" s="8" t="s">
        <v>16</v>
      </c>
      <c r="B14" s="8" t="s">
        <v>90</v>
      </c>
      <c r="C14" s="8" t="s">
        <v>91</v>
      </c>
      <c r="D14" s="14">
        <v>0.04</v>
      </c>
      <c r="E14" s="9">
        <v>0.08</v>
      </c>
      <c r="F14" s="10"/>
      <c r="G14" s="10"/>
      <c r="H14" s="11">
        <f t="shared" si="0"/>
        <v>0</v>
      </c>
      <c r="I14" s="8"/>
    </row>
    <row r="15" spans="1:14" ht="28">
      <c r="A15" s="8" t="s">
        <v>16</v>
      </c>
      <c r="B15" s="8" t="s">
        <v>34</v>
      </c>
      <c r="C15" s="8" t="s">
        <v>35</v>
      </c>
      <c r="D15" s="14">
        <v>0.04</v>
      </c>
      <c r="E15" s="9">
        <v>0.06</v>
      </c>
      <c r="F15" s="10"/>
      <c r="G15" s="10"/>
      <c r="H15" s="11">
        <f t="shared" si="0"/>
        <v>0</v>
      </c>
      <c r="I15" s="8"/>
    </row>
    <row r="16" spans="1:14" ht="28">
      <c r="A16" s="8" t="s">
        <v>16</v>
      </c>
      <c r="B16" s="8" t="s">
        <v>36</v>
      </c>
      <c r="C16" s="8" t="s">
        <v>37</v>
      </c>
      <c r="D16" s="14">
        <v>0.04</v>
      </c>
      <c r="E16" s="9">
        <v>0.08</v>
      </c>
      <c r="F16" s="10"/>
      <c r="G16" s="10"/>
      <c r="H16" s="11">
        <f t="shared" si="0"/>
        <v>0</v>
      </c>
      <c r="I16" s="8"/>
    </row>
    <row r="17" spans="1:9" ht="28">
      <c r="A17" s="8" t="s">
        <v>16</v>
      </c>
      <c r="B17" s="8" t="s">
        <v>38</v>
      </c>
      <c r="C17" s="8" t="s">
        <v>39</v>
      </c>
      <c r="D17" s="14">
        <v>0.04</v>
      </c>
      <c r="E17" s="9">
        <v>0.08</v>
      </c>
      <c r="F17" s="10"/>
      <c r="G17" s="10"/>
      <c r="H17" s="11">
        <f t="shared" si="0"/>
        <v>0</v>
      </c>
      <c r="I17" s="8"/>
    </row>
    <row r="18" spans="1:9" ht="28">
      <c r="A18" s="8" t="s">
        <v>16</v>
      </c>
      <c r="B18" s="8" t="s">
        <v>40</v>
      </c>
      <c r="C18" s="8" t="s">
        <v>41</v>
      </c>
      <c r="D18" s="14">
        <v>0.04</v>
      </c>
      <c r="E18" s="9">
        <v>0.08</v>
      </c>
      <c r="F18" s="10"/>
      <c r="G18" s="10"/>
      <c r="H18" s="11">
        <f t="shared" si="0"/>
        <v>0</v>
      </c>
      <c r="I18" s="8"/>
    </row>
    <row r="19" spans="1:9" ht="28">
      <c r="A19" s="8" t="s">
        <v>16</v>
      </c>
      <c r="B19" s="8" t="s">
        <v>42</v>
      </c>
      <c r="C19" s="8" t="s">
        <v>43</v>
      </c>
      <c r="D19" s="14">
        <v>0.04</v>
      </c>
      <c r="E19" s="9">
        <v>0.06</v>
      </c>
      <c r="F19" s="10"/>
      <c r="G19" s="10"/>
      <c r="H19" s="11">
        <f t="shared" si="0"/>
        <v>0</v>
      </c>
      <c r="I19" s="8"/>
    </row>
    <row r="20" spans="1:9" ht="28">
      <c r="A20" s="8" t="s">
        <v>16</v>
      </c>
      <c r="B20" s="8" t="s">
        <v>44</v>
      </c>
      <c r="C20" s="8" t="s">
        <v>45</v>
      </c>
      <c r="D20" s="14">
        <v>0.04</v>
      </c>
      <c r="E20" s="9">
        <v>0.06</v>
      </c>
      <c r="F20" s="10"/>
      <c r="G20" s="10"/>
      <c r="H20" s="11">
        <f t="shared" si="0"/>
        <v>0</v>
      </c>
      <c r="I20" s="8"/>
    </row>
    <row r="21" spans="1:9" ht="28">
      <c r="A21" s="8" t="s">
        <v>16</v>
      </c>
      <c r="B21" s="8" t="s">
        <v>46</v>
      </c>
      <c r="C21" s="8" t="s">
        <v>47</v>
      </c>
      <c r="D21" s="14">
        <v>0.04</v>
      </c>
      <c r="E21" s="9">
        <v>0.06</v>
      </c>
      <c r="F21" s="10"/>
      <c r="G21" s="10"/>
      <c r="H21" s="11">
        <f t="shared" si="0"/>
        <v>0</v>
      </c>
      <c r="I21" s="8"/>
    </row>
    <row r="22" spans="1:9" hidden="1">
      <c r="C22" s="8" t="s">
        <v>92</v>
      </c>
      <c r="I22" s="8"/>
    </row>
    <row r="23" spans="1:9" hidden="1">
      <c r="I23" s="8"/>
    </row>
    <row r="24" spans="1:9" hidden="1">
      <c r="I24" s="8"/>
    </row>
    <row r="25" spans="1:9" hidden="1">
      <c r="I25" s="8"/>
    </row>
    <row r="26" spans="1:9" hidden="1">
      <c r="I26" s="8"/>
    </row>
    <row r="27" spans="1:9" hidden="1">
      <c r="I27" s="8"/>
    </row>
    <row r="28" spans="1:9" hidden="1">
      <c r="I28" s="8"/>
    </row>
  </sheetData>
  <mergeCells count="1">
    <mergeCell ref="A1:I1"/>
  </mergeCells>
  <conditionalFormatting sqref="M7">
    <cfRule type="cellIs" dxfId="0" priority="2" operator="lessThan">
      <formula>3</formula>
    </cfRule>
  </conditionalFormatting>
  <conditionalFormatting sqref="F3:G21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list" sqref="F3:G21" xr:uid="{00000000-0002-0000-0000-000000000000}">
      <formula1>"0,0.5,1,1.5,2,2.5,3,3.5,4,4.5,5"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C14" sqref="C14"/>
    </sheetView>
  </sheetViews>
  <sheetFormatPr baseColWidth="10" defaultColWidth="8.6640625" defaultRowHeight="14"/>
  <cols>
    <col min="1" max="1" width="10" customWidth="1"/>
    <col min="2" max="2" width="18" customWidth="1"/>
    <col min="3" max="6" width="36" customWidth="1"/>
  </cols>
  <sheetData>
    <row r="1" spans="1:6" ht="20">
      <c r="A1" s="13" t="s">
        <v>48</v>
      </c>
      <c r="B1" s="13"/>
      <c r="C1" s="13"/>
      <c r="D1" s="13"/>
      <c r="E1" s="13"/>
      <c r="F1" s="13"/>
    </row>
    <row r="3" spans="1:6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</row>
    <row r="4" spans="1:6" ht="28">
      <c r="A4" s="12">
        <v>5</v>
      </c>
      <c r="B4" s="8" t="s">
        <v>55</v>
      </c>
      <c r="C4" s="8" t="s">
        <v>56</v>
      </c>
      <c r="D4" s="8" t="s">
        <v>57</v>
      </c>
      <c r="E4" s="8" t="s">
        <v>58</v>
      </c>
      <c r="F4" s="8" t="s">
        <v>59</v>
      </c>
    </row>
    <row r="5" spans="1:6" ht="28">
      <c r="A5" s="12">
        <v>4</v>
      </c>
      <c r="B5" s="8" t="s">
        <v>60</v>
      </c>
      <c r="C5" s="8" t="s">
        <v>61</v>
      </c>
      <c r="D5" s="8" t="s">
        <v>62</v>
      </c>
      <c r="E5" s="8" t="s">
        <v>63</v>
      </c>
      <c r="F5" s="8" t="s">
        <v>64</v>
      </c>
    </row>
    <row r="6" spans="1:6" ht="28">
      <c r="A6" s="12">
        <v>3</v>
      </c>
      <c r="B6" s="8" t="s">
        <v>65</v>
      </c>
      <c r="C6" s="8" t="s">
        <v>66</v>
      </c>
      <c r="D6" s="8" t="s">
        <v>67</v>
      </c>
      <c r="E6" s="8" t="s">
        <v>68</v>
      </c>
      <c r="F6" s="8" t="s">
        <v>69</v>
      </c>
    </row>
    <row r="7" spans="1:6" ht="28">
      <c r="A7" s="12">
        <v>2</v>
      </c>
      <c r="B7" s="8" t="s">
        <v>70</v>
      </c>
      <c r="C7" s="8" t="s">
        <v>71</v>
      </c>
      <c r="D7" s="8" t="s">
        <v>72</v>
      </c>
      <c r="E7" s="8" t="s">
        <v>73</v>
      </c>
      <c r="F7" s="8" t="s">
        <v>74</v>
      </c>
    </row>
    <row r="8" spans="1:6" ht="28">
      <c r="A8" s="12">
        <v>1</v>
      </c>
      <c r="B8" s="8" t="s">
        <v>75</v>
      </c>
      <c r="C8" s="8" t="s">
        <v>76</v>
      </c>
      <c r="D8" s="8" t="s">
        <v>77</v>
      </c>
      <c r="E8" s="8" t="s">
        <v>78</v>
      </c>
      <c r="F8" s="8" t="s">
        <v>79</v>
      </c>
    </row>
    <row r="9" spans="1:6">
      <c r="A9" s="12">
        <v>0</v>
      </c>
      <c r="B9" s="8" t="s">
        <v>80</v>
      </c>
      <c r="C9" s="8" t="s">
        <v>81</v>
      </c>
      <c r="D9" s="8" t="s">
        <v>82</v>
      </c>
      <c r="E9" s="8" t="s">
        <v>83</v>
      </c>
      <c r="F9" s="8" t="s">
        <v>84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Escala de desempeño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Esteban Rodriguez Guevara</cp:lastModifiedBy>
  <dcterms:modified xsi:type="dcterms:W3CDTF">2026-09-24T18:21:46Z</dcterms:modified>
</cp:coreProperties>
</file>